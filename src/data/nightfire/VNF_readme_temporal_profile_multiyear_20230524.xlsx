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tsparks/Documents/eog/projects/Gas flaring temporal profiles/readme/"/>
    </mc:Choice>
  </mc:AlternateContent>
  <xr:revisionPtr revIDLastSave="0" documentId="13_ncr:1_{21D57FE6-128B-3A41-AFC6-62D119ECE275}" xr6:coauthVersionLast="47" xr6:coauthVersionMax="47" xr10:uidLastSave="{00000000-0000-0000-0000-000000000000}"/>
  <bookViews>
    <workbookView xWindow="24880" yWindow="1000" windowWidth="26440" windowHeight="12380" xr2:uid="{E2680A1D-C045-A341-9CA6-9BEDE13A49DD}"/>
  </bookViews>
  <sheets>
    <sheet name="VNF temporal profile CSV Fields" sheetId="1" r:id="rId1"/>
    <sheet name="Detection scenarios" sheetId="4" r:id="rId2"/>
    <sheet name="QF_Detect Bit Description" sheetId="2" r:id="rId3"/>
    <sheet name="QF_Fit Bit Description"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2" l="1"/>
  <c r="B15" i="2" s="1"/>
  <c r="B16" i="2" s="1"/>
  <c r="B17" i="2" s="1"/>
  <c r="B18" i="2" s="1"/>
  <c r="B19" i="2" s="1"/>
  <c r="B20" i="2" s="1"/>
  <c r="B21" i="2" s="1"/>
  <c r="B22" i="2" s="1"/>
  <c r="B23" i="2" s="1"/>
</calcChain>
</file>

<file path=xl/sharedStrings.xml><?xml version="1.0" encoding="utf-8"?>
<sst xmlns="http://schemas.openxmlformats.org/spreadsheetml/2006/main" count="177" uniqueCount="146">
  <si>
    <t>Field name</t>
  </si>
  <si>
    <t>Description</t>
  </si>
  <si>
    <t>Units</t>
  </si>
  <si>
    <t>Fill Value</t>
  </si>
  <si>
    <t>id_Key</t>
  </si>
  <si>
    <t>Date_Proc</t>
  </si>
  <si>
    <t>Lat_GMTCO</t>
  </si>
  <si>
    <t>Lon_GMTCO</t>
  </si>
  <si>
    <t>Date_Mscan</t>
  </si>
  <si>
    <t>Temp_BB</t>
  </si>
  <si>
    <t>Temp_Bkg</t>
  </si>
  <si>
    <t>ESF_BB</t>
  </si>
  <si>
    <t>RHI</t>
  </si>
  <si>
    <t>RH</t>
  </si>
  <si>
    <t>Area_Pixel</t>
  </si>
  <si>
    <t>Area_BB</t>
  </si>
  <si>
    <t>Cloud_Mask</t>
  </si>
  <si>
    <t>QF_Fit</t>
  </si>
  <si>
    <t>QF_Detect</t>
  </si>
  <si>
    <t>Rad_DNB</t>
  </si>
  <si>
    <t>Rad_M07</t>
  </si>
  <si>
    <t>Rad_M08</t>
  </si>
  <si>
    <t>Rad_M10</t>
  </si>
  <si>
    <t>Rad_M11</t>
  </si>
  <si>
    <t>Rad_M12</t>
  </si>
  <si>
    <t>Rad_M13</t>
  </si>
  <si>
    <t>Rad_M14</t>
  </si>
  <si>
    <t>Rad_M15</t>
  </si>
  <si>
    <t>Rad_M16</t>
  </si>
  <si>
    <t>Flow_Rate</t>
  </si>
  <si>
    <t>Unique IR-source ID</t>
  </si>
  <si>
    <t>unitless</t>
  </si>
  <si>
    <t>left blank</t>
  </si>
  <si>
    <t>date-time</t>
  </si>
  <si>
    <t>IR-source pixel latitude from VIIRS geolocation GMTCO file (terrain corrected)</t>
  </si>
  <si>
    <t>degrees</t>
  </si>
  <si>
    <t>IR-source pixel longitude from VIIRS geolocation GMTCO file (terrain corrected)</t>
  </si>
  <si>
    <t>IR-source temperature assuming blackbody source (derived using Nightfire algorithm)</t>
  </si>
  <si>
    <t>Earth temperature estimate (derived using Nightfire algorithm)</t>
  </si>
  <si>
    <t>IR-source emission scaling factor (derived using Nightfire algorithm)</t>
  </si>
  <si>
    <t>IR-source radiant heat intensity (derived using Nightfire algorithm)</t>
  </si>
  <si>
    <t>W/m2</t>
  </si>
  <si>
    <t>IR-source radiant heat (derived using Nightfire algorithm)</t>
  </si>
  <si>
    <t>Area of M-band IR-source pixel</t>
  </si>
  <si>
    <t>m2</t>
  </si>
  <si>
    <t>Area of IR-source assuming blackbody source (derived using Nightfire algorithm)</t>
  </si>
  <si>
    <t>Cloud-mask derived from bits 3-4 in QF1 from VIIRS IICMO file and adjusted in Nightfire processing. 0 = clear, 1 = probably clear, 2 = probably cloudy, 3 = cloudy</t>
  </si>
  <si>
    <t>Bit flag for the Planck curve fitting portion of the Nightfire algorithm. The value is the sum of the bit flags derived when fitting the Planck curve (see field descriptions below).</t>
  </si>
  <si>
    <t>Quality flag for Nightfire detection algorithm. The value is the sum of the bit flags derived from the tests performed on the different VIIRS sensors used (see field description below).</t>
  </si>
  <si>
    <t>Radiance in VIIRS M7 band</t>
  </si>
  <si>
    <t>Radiance in VIIRS Day/Night band</t>
  </si>
  <si>
    <t>Radiance in VIIRS M8 band</t>
  </si>
  <si>
    <t>Radiance in VIIRS M10 band</t>
  </si>
  <si>
    <t>Radiance in VIIRS M11 band</t>
  </si>
  <si>
    <t>Radiance in VIIRS M12 band</t>
  </si>
  <si>
    <t>Radiance in VIIRS M13 band</t>
  </si>
  <si>
    <t>Radiance in VIIRS M14 band</t>
  </si>
  <si>
    <t>Radiance in VIIRS M15 band</t>
  </si>
  <si>
    <t>Radiance in VIIRS M16 band</t>
  </si>
  <si>
    <t>W/m2/sr/um</t>
  </si>
  <si>
    <r>
      <t xml:space="preserve">Bit Fields for </t>
    </r>
    <r>
      <rPr>
        <b/>
        <sz val="11"/>
        <color theme="1"/>
        <rFont val="Calibri"/>
        <family val="2"/>
        <scheme val="minor"/>
      </rPr>
      <t xml:space="preserve">QF_Detect </t>
    </r>
    <r>
      <rPr>
        <sz val="12"/>
        <color theme="1"/>
        <rFont val="Calibri"/>
        <family val="2"/>
        <scheme val="minor"/>
      </rPr>
      <t>Value</t>
    </r>
  </si>
  <si>
    <t>Name</t>
  </si>
  <si>
    <t>Value</t>
  </si>
  <si>
    <t>M10 above thresh</t>
  </si>
  <si>
    <t>M10 radiance is above the file detection threshold M10_Avg + M10_Nsigma * M10_Std</t>
  </si>
  <si>
    <t>M10 local max (bow-tie corrected)</t>
  </si>
  <si>
    <t>Pixel has an M10 local maximum with radiance above the file detection threshold and has been filtered for bow-tie duplication</t>
  </si>
  <si>
    <t>M7 above thresh</t>
  </si>
  <si>
    <t>M7 radiance is above the M7 file detection threshold M7_Avg + M7_Nsigma * M7_Std</t>
  </si>
  <si>
    <t>M8 above thresh</t>
  </si>
  <si>
    <t>M8 radiance is above the M8 file detection threshold M8_Avg + M8_Nsigma * M8_Std</t>
  </si>
  <si>
    <t>M12 above thresh</t>
  </si>
  <si>
    <t>Pixel has [M12,M13] radiance outside limits set by M12-M13 scatterplot. M12 not saturated.</t>
  </si>
  <si>
    <t>M13 above thresh</t>
  </si>
  <si>
    <t>Pixel has [M12,M13] radiance outside limits set by M12-M13 scatterplot.</t>
  </si>
  <si>
    <t>DNB local max</t>
  </si>
  <si>
    <t>Pixel has a local DNB maximum in 11x11 pixel window centered around M10 local maximum, and the distance between the DNB and M10 local maxima is less than 3 km</t>
  </si>
  <si>
    <t>M10 multiple pixel region</t>
  </si>
  <si>
    <t>Pixel is part of a cluster of M10 detections.</t>
  </si>
  <si>
    <t>M10 local max (NOT bow-tie corrected)</t>
  </si>
  <si>
    <t>Pixel has an M10 local maximum with radiance above the file detection threshold.</t>
  </si>
  <si>
    <t>M12 local max (NOT bow-tie corrected)</t>
  </si>
  <si>
    <t>Pixel has an M12 local maximum with radiance outside limits set by M12-M13 scatterplot.</t>
  </si>
  <si>
    <t>M13 local max (NOT bow-tie corrected)</t>
  </si>
  <si>
    <t>Pixel has an M13 local maximum with radiance outside limits set by M12-M13 scatterplot.</t>
  </si>
  <si>
    <t>M10 tophat-filtered</t>
  </si>
  <si>
    <t>Pixel passed the M10 tophat filter.</t>
  </si>
  <si>
    <t>M12 tophat-filtered</t>
  </si>
  <si>
    <t>Pixel passed the M12 tophat filter.</t>
  </si>
  <si>
    <t>M13 tophat-filtered</t>
  </si>
  <si>
    <t>Pixel passed the M13 tophat filter.</t>
  </si>
  <si>
    <t>M16 above thresh</t>
  </si>
  <si>
    <t>Pixel has M16 radiance above limits set using the M12-M13 scatterplot.</t>
  </si>
  <si>
    <t>M11 local max (NOT bow-tie corrected)</t>
  </si>
  <si>
    <t>Pixel has an M11 local maximum with radiance above the file detection threshold M11_Avg + M11_Nsigma * M11_Std</t>
  </si>
  <si>
    <t>M11 multiple pixel region</t>
  </si>
  <si>
    <t>Pixel is part of a cluster of M11 detections.</t>
  </si>
  <si>
    <t>M11 local max (bow-tie corrected)</t>
  </si>
  <si>
    <t>Pixel has an M11 local maximum with radiance above the file detection threshold and has been filtered for bow-tie duplication</t>
  </si>
  <si>
    <t>M11 tophat-filtered</t>
  </si>
  <si>
    <t>Pixel passed the M11 tophat filter.</t>
  </si>
  <si>
    <t>Bad scanline</t>
  </si>
  <si>
    <t>Pixel is part of a bad scanline. This is infrequent, and usually occurs only at end of scenes in data acquired from direct broadcast stations.</t>
  </si>
  <si>
    <r>
      <t xml:space="preserve">Bit Fields for </t>
    </r>
    <r>
      <rPr>
        <b/>
        <sz val="11"/>
        <color theme="1"/>
        <rFont val="Calibri"/>
        <family val="2"/>
      </rPr>
      <t xml:space="preserve">QF_Fit </t>
    </r>
    <r>
      <rPr>
        <sz val="11"/>
        <color theme="1"/>
        <rFont val="Calibri"/>
        <family val="2"/>
      </rPr>
      <t>Value</t>
    </r>
  </si>
  <si>
    <t>Single Fit SWIR</t>
  </si>
  <si>
    <t>A single Planck curve was fit to the hot source using a subset of the SWIR bands which radiances above detection limits (see QF_Detect)</t>
  </si>
  <si>
    <t>Dual Fit</t>
  </si>
  <si>
    <t>Two Planck curves were simultaneously fit, one for the hot source and one for Earth background temperature. The MWIR/LWIR M-bands were used in addition to the subset of the SWIR bands which radiances above detection limits (see QF_Detect).</t>
  </si>
  <si>
    <t>Single Fit MWIR</t>
  </si>
  <si>
    <t>A single Planck curve was fit to the hot source using a subset of the MWIR and LWIR bands.</t>
  </si>
  <si>
    <t>Max Temp Fit</t>
  </si>
  <si>
    <t>Estimated temperature was greater than the maximum allowed (T &gt; MAX_TEMP).</t>
  </si>
  <si>
    <t>Min Temp Fit</t>
  </si>
  <si>
    <t>Estimated temperature was less than the minimum allowed (T &lt; MIN_TEMP).</t>
  </si>
  <si>
    <t>M16 Constraint</t>
  </si>
  <si>
    <t>M16 value was used as a constraint in Planck curve fitting.</t>
  </si>
  <si>
    <t>km2</t>
  </si>
  <si>
    <t>MW</t>
  </si>
  <si>
    <t>Instantaneous flared gas volume using Cedigaz 0.029 calibration</t>
  </si>
  <si>
    <t>Date/time of Nightfire processing (local)</t>
  </si>
  <si>
    <t>IR-source pixel date-time at mid-scan (UTC)</t>
  </si>
  <si>
    <t>file_m10</t>
  </si>
  <si>
    <t>File name for M10 band</t>
  </si>
  <si>
    <t>satz</t>
  </si>
  <si>
    <t>Satellite zenith angle</t>
  </si>
  <si>
    <t>flare_id</t>
  </si>
  <si>
    <t>mmscm/day</t>
  </si>
  <si>
    <t>Satellite</t>
  </si>
  <si>
    <t>Satellite that made the observation</t>
  </si>
  <si>
    <t>Sunlit</t>
  </si>
  <si>
    <t>Identifies satellite overpasses that are too bright from sunlight to detect IR-emitter activity, typically at high latitudes in summer. Sunlit = 1 is sunlit, Sunlit = 0 is dark.</t>
  </si>
  <si>
    <t>Scenario</t>
  </si>
  <si>
    <t>Detection with temperature</t>
  </si>
  <si>
    <t>IR-emitter was detected in only one band, so Planck curve fitting could not be performed. Temperature, RH, RHI, Area, and ESF cannot be determined</t>
  </si>
  <si>
    <t>Detection without temperature</t>
  </si>
  <si>
    <t>IR-emitter was detected in multiple bands, so Planck curve fitting is possible. Temperature, RH, RHI, Area, and ESF can be determined. (If there are not enough detections in the bands that determine the background, temperature will be missing for the background but present for the IR emitter)</t>
  </si>
  <si>
    <t>Non detection</t>
  </si>
  <si>
    <t>Satellite did not detect an IR-emitter. Cloud state data is included as an indication of whether the lack of detection indicates lack of flare activity (clear non detection) or is unclear (cloudy non detection)</t>
  </si>
  <si>
    <t>Occasional 999999 values may be present in various columns indicating missing data for reasons other than described here</t>
  </si>
  <si>
    <t>How to filter data</t>
  </si>
  <si>
    <t>All columns are populated with values (not 999999) (Temp_Bkg may be missing if unable to be determined)</t>
  </si>
  <si>
    <t>left blank or 999999</t>
  </si>
  <si>
    <t>All columns are populated with values (not 999999) EXCEPT Temp_BB, Temp_Bkg, ESF_BB, RHI, RH, Area_Pixel, Area_BB</t>
  </si>
  <si>
    <t>The only columns filled with values (not 999999) are Lat_GMTCO, Lon_GMTCO, Date_Mscan, Cloud_Mask, flare_id, Satellite, Sunlit.</t>
  </si>
  <si>
    <t>Flare ID associated with location of detection using multiyear catalog ID numbers</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</si>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</sst>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b/>
      <sz val="11"/>
      <color rgb="FF000000"/>
      <name val="Calibri"/>
      <family val="2"/>
      <scheme val="minor"/>
    </font>
    <font>
      <b/>
      <sz val="11"/>
      <color rgb="FF000000"/>
      <name val="Calibri"/>
      <family val="2"/>
    </font>
    <font>
      <sz val="11"/>
      <color rgb="FF000000"/>
      <name val="Calibri"/>
      <family val="2"/>
      <scheme val="minor"/>
    </font>
    <font>
      <sz val="11"/>
      <color rgb="FF000000"/>
      <name val="Calibri"/>
      <family val="2"/>
    </font>
    <font>
      <sz val="11"/>
      <color rgb="FF222222"/>
      <name val="Calibri"/>
      <family val="2"/>
    </font>
    <font>
      <sz val="11"/>
      <color rgb="FF222222"/>
      <name val="Calibri"/>
      <family val="2"/>
      <scheme val="minor"/>
    </font>
    <font>
      <b/>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7">
    <xf numFmtId="0" fontId="0" fillId="0" borderId="0" xfId="0"/>
    <xf numFmtId="0" fontId="1" fillId="0" borderId="0" xfId="0" applyFont="1"/>
    <xf numFmtId="0" fontId="2" fillId="0" borderId="0" xfId="1"/>
    <xf numFmtId="0" fontId="4" fillId="0" borderId="0" xfId="1" applyFont="1"/>
    <xf numFmtId="0" fontId="5" fillId="0" borderId="0" xfId="1" applyFont="1" applyAlignment="1">
      <alignment vertical="center"/>
    </xf>
    <xf numFmtId="0" fontId="6" fillId="0" borderId="0" xfId="1" applyFont="1" applyAlignment="1">
      <alignment vertical="center"/>
    </xf>
    <xf numFmtId="0" fontId="7" fillId="0" borderId="0" xfId="1" applyFont="1" applyAlignment="1">
      <alignment vertical="center"/>
    </xf>
    <xf numFmtId="0" fontId="8" fillId="0" borderId="0" xfId="1" applyFont="1" applyAlignment="1">
      <alignment horizontal="right" vertical="center"/>
    </xf>
    <xf numFmtId="0" fontId="8" fillId="0" borderId="0" xfId="1" applyFont="1" applyAlignment="1">
      <alignment vertical="center" wrapText="1"/>
    </xf>
    <xf numFmtId="0" fontId="9" fillId="0" borderId="0" xfId="1" applyFont="1"/>
    <xf numFmtId="0" fontId="10" fillId="0" borderId="0" xfId="1" applyFont="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1" fillId="0" borderId="0" xfId="0" applyFont="1" applyAlignment="1">
      <alignment wrapText="1"/>
    </xf>
    <xf numFmtId="0" fontId="1" fillId="0" borderId="0" xfId="0" applyFont="1" applyAlignment="1">
      <alignment vertical="center" wrapText="1"/>
    </xf>
  </cellXfs>
  <cellStyles count="2">
    <cellStyle name="Normal" xfId="0" builtinId="0"/>
    <cellStyle name="Normal 2" xfId="1" xr:uid="{0A1CA6EA-037F-0B42-89AB-7E1F82929E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22ED7-079E-7245-8ECF-E26C7587972A}">
  <dimension ref="A1:D32"/>
  <sheetViews>
    <sheetView tabSelected="1" workbookViewId="0">
      <selection activeCell="C9" sqref="C9"/>
    </sheetView>
  </sheetViews>
  <sheetFormatPr baseColWidth="10" defaultRowHeight="16" x14ac:dyDescent="0.2"/>
  <cols>
    <col min="2" max="2" width="154.1640625" bestFit="1" customWidth="1"/>
    <col min="3" max="3" width="12.33203125" bestFit="1" customWidth="1"/>
  </cols>
  <sheetData>
    <row r="1" spans="1:4" s="1" customFormat="1" x14ac:dyDescent="0.2">
      <c r="A1" s="1" t="s">
        <v>0</v>
      </c>
      <c r="B1" s="1" t="s">
        <v>1</v>
      </c>
      <c r="C1" s="1" t="s">
        <v>2</v>
      </c>
      <c r="D1" s="1" t="s">
        <v>3</v>
      </c>
    </row>
    <row r="2" spans="1:4" x14ac:dyDescent="0.2">
      <c r="A2" t="s">
        <v>4</v>
      </c>
      <c r="B2" t="s">
        <v>30</v>
      </c>
      <c r="C2" t="s">
        <v>31</v>
      </c>
      <c r="D2" t="s">
        <v>141</v>
      </c>
    </row>
    <row r="3" spans="1:4" x14ac:dyDescent="0.2">
      <c r="A3" t="s">
        <v>5</v>
      </c>
      <c r="B3" t="s">
        <v>119</v>
      </c>
      <c r="C3" t="s">
        <v>33</v>
      </c>
      <c r="D3" t="s">
        <v>141</v>
      </c>
    </row>
    <row r="4" spans="1:4" x14ac:dyDescent="0.2">
      <c r="A4" t="s">
        <v>6</v>
      </c>
      <c r="B4" t="s">
        <v>34</v>
      </c>
      <c r="C4" t="s">
        <v>35</v>
      </c>
      <c r="D4">
        <v>999999</v>
      </c>
    </row>
    <row r="5" spans="1:4" x14ac:dyDescent="0.2">
      <c r="A5" t="s">
        <v>7</v>
      </c>
      <c r="B5" t="s">
        <v>36</v>
      </c>
      <c r="C5" t="s">
        <v>35</v>
      </c>
      <c r="D5">
        <v>999999</v>
      </c>
    </row>
    <row r="6" spans="1:4" x14ac:dyDescent="0.2">
      <c r="A6" t="s">
        <v>8</v>
      </c>
      <c r="B6" t="s">
        <v>120</v>
      </c>
      <c r="C6" t="s">
        <v>33</v>
      </c>
      <c r="D6" t="s">
        <v>32</v>
      </c>
    </row>
    <row r="7" spans="1:4" x14ac:dyDescent="0.2">
      <c r="A7" t="s">
        <v>9</v>
      </c>
      <c r="B7" t="s">
        <v>37</v>
      </c>
      <c r="C7" t="s">
        <v>145</v>
      </c>
      <c r="D7">
        <v>999999</v>
      </c>
    </row>
    <row r="8" spans="1:4" x14ac:dyDescent="0.2">
      <c r="A8" t="s">
        <v>10</v>
      </c>
      <c r="B8" t="s">
        <v>38</v>
      </c>
      <c r="C8" t="s">
        <v>145</v>
      </c>
      <c r="D8">
        <v>999999</v>
      </c>
    </row>
    <row r="9" spans="1:4" x14ac:dyDescent="0.2">
      <c r="A9" t="s">
        <v>11</v>
      </c>
      <c r="B9" t="s">
        <v>39</v>
      </c>
      <c r="C9" t="s">
        <v>31</v>
      </c>
      <c r="D9">
        <v>999999</v>
      </c>
    </row>
    <row r="10" spans="1:4" x14ac:dyDescent="0.2">
      <c r="A10" t="s">
        <v>12</v>
      </c>
      <c r="B10" t="s">
        <v>40</v>
      </c>
      <c r="C10" t="s">
        <v>41</v>
      </c>
      <c r="D10">
        <v>999999</v>
      </c>
    </row>
    <row r="11" spans="1:4" x14ac:dyDescent="0.2">
      <c r="A11" t="s">
        <v>13</v>
      </c>
      <c r="B11" t="s">
        <v>42</v>
      </c>
      <c r="C11" t="s">
        <v>117</v>
      </c>
      <c r="D11">
        <v>999999</v>
      </c>
    </row>
    <row r="12" spans="1:4" x14ac:dyDescent="0.2">
      <c r="A12" t="s">
        <v>14</v>
      </c>
      <c r="B12" t="s">
        <v>43</v>
      </c>
      <c r="C12" t="s">
        <v>116</v>
      </c>
      <c r="D12">
        <v>999999</v>
      </c>
    </row>
    <row r="13" spans="1:4" x14ac:dyDescent="0.2">
      <c r="A13" t="s">
        <v>15</v>
      </c>
      <c r="B13" t="s">
        <v>45</v>
      </c>
      <c r="C13" t="s">
        <v>44</v>
      </c>
      <c r="D13">
        <v>999999</v>
      </c>
    </row>
    <row r="14" spans="1:4" x14ac:dyDescent="0.2">
      <c r="A14" t="s">
        <v>16</v>
      </c>
      <c r="B14" t="s">
        <v>46</v>
      </c>
      <c r="C14" t="s">
        <v>31</v>
      </c>
      <c r="D14">
        <v>999999</v>
      </c>
    </row>
    <row r="15" spans="1:4" x14ac:dyDescent="0.2">
      <c r="A15" t="s">
        <v>17</v>
      </c>
      <c r="B15" t="s">
        <v>47</v>
      </c>
      <c r="C15" t="s">
        <v>31</v>
      </c>
      <c r="D15">
        <v>999999</v>
      </c>
    </row>
    <row r="16" spans="1:4" x14ac:dyDescent="0.2">
      <c r="A16" t="s">
        <v>18</v>
      </c>
      <c r="B16" t="s">
        <v>48</v>
      </c>
      <c r="C16" t="s">
        <v>31</v>
      </c>
      <c r="D16">
        <v>999999</v>
      </c>
    </row>
    <row r="17" spans="1:4" x14ac:dyDescent="0.2">
      <c r="A17" t="s">
        <v>19</v>
      </c>
      <c r="B17" t="s">
        <v>50</v>
      </c>
      <c r="C17" t="s">
        <v>59</v>
      </c>
      <c r="D17">
        <v>999999</v>
      </c>
    </row>
    <row r="18" spans="1:4" x14ac:dyDescent="0.2">
      <c r="A18" t="s">
        <v>20</v>
      </c>
      <c r="B18" t="s">
        <v>49</v>
      </c>
      <c r="C18" t="s">
        <v>59</v>
      </c>
      <c r="D18">
        <v>999999</v>
      </c>
    </row>
    <row r="19" spans="1:4" x14ac:dyDescent="0.2">
      <c r="A19" t="s">
        <v>21</v>
      </c>
      <c r="B19" t="s">
        <v>51</v>
      </c>
      <c r="C19" t="s">
        <v>59</v>
      </c>
      <c r="D19">
        <v>999999</v>
      </c>
    </row>
    <row r="20" spans="1:4" x14ac:dyDescent="0.2">
      <c r="A20" t="s">
        <v>22</v>
      </c>
      <c r="B20" t="s">
        <v>52</v>
      </c>
      <c r="C20" t="s">
        <v>59</v>
      </c>
      <c r="D20">
        <v>999999</v>
      </c>
    </row>
    <row r="21" spans="1:4" x14ac:dyDescent="0.2">
      <c r="A21" t="s">
        <v>23</v>
      </c>
      <c r="B21" t="s">
        <v>53</v>
      </c>
      <c r="C21" t="s">
        <v>59</v>
      </c>
      <c r="D21">
        <v>999999</v>
      </c>
    </row>
    <row r="22" spans="1:4" x14ac:dyDescent="0.2">
      <c r="A22" t="s">
        <v>24</v>
      </c>
      <c r="B22" t="s">
        <v>54</v>
      </c>
      <c r="C22" t="s">
        <v>59</v>
      </c>
      <c r="D22">
        <v>999999</v>
      </c>
    </row>
    <row r="23" spans="1:4" x14ac:dyDescent="0.2">
      <c r="A23" t="s">
        <v>25</v>
      </c>
      <c r="B23" t="s">
        <v>55</v>
      </c>
      <c r="C23" t="s">
        <v>59</v>
      </c>
      <c r="D23">
        <v>999999</v>
      </c>
    </row>
    <row r="24" spans="1:4" x14ac:dyDescent="0.2">
      <c r="A24" t="s">
        <v>26</v>
      </c>
      <c r="B24" t="s">
        <v>56</v>
      </c>
      <c r="C24" t="s">
        <v>59</v>
      </c>
      <c r="D24">
        <v>999999</v>
      </c>
    </row>
    <row r="25" spans="1:4" x14ac:dyDescent="0.2">
      <c r="A25" t="s">
        <v>27</v>
      </c>
      <c r="B25" t="s">
        <v>57</v>
      </c>
      <c r="C25" t="s">
        <v>59</v>
      </c>
      <c r="D25">
        <v>999999</v>
      </c>
    </row>
    <row r="26" spans="1:4" x14ac:dyDescent="0.2">
      <c r="A26" t="s">
        <v>28</v>
      </c>
      <c r="B26" t="s">
        <v>58</v>
      </c>
      <c r="C26" t="s">
        <v>59</v>
      </c>
      <c r="D26">
        <v>999999</v>
      </c>
    </row>
    <row r="27" spans="1:4" x14ac:dyDescent="0.2">
      <c r="A27" t="s">
        <v>121</v>
      </c>
      <c r="B27" t="s">
        <v>122</v>
      </c>
      <c r="C27" t="s">
        <v>31</v>
      </c>
      <c r="D27" t="s">
        <v>141</v>
      </c>
    </row>
    <row r="28" spans="1:4" x14ac:dyDescent="0.2">
      <c r="A28" t="s">
        <v>123</v>
      </c>
      <c r="B28" t="s">
        <v>124</v>
      </c>
      <c r="C28" t="s">
        <v>35</v>
      </c>
      <c r="D28">
        <v>999999</v>
      </c>
    </row>
    <row r="29" spans="1:4" x14ac:dyDescent="0.2">
      <c r="A29" t="s">
        <v>125</v>
      </c>
      <c r="B29" t="s">
        <v>144</v>
      </c>
      <c r="C29" t="s">
        <v>31</v>
      </c>
      <c r="D29" t="s">
        <v>32</v>
      </c>
    </row>
    <row r="30" spans="1:4" x14ac:dyDescent="0.2">
      <c r="A30" t="s">
        <v>127</v>
      </c>
      <c r="B30" t="s">
        <v>128</v>
      </c>
      <c r="C30" t="s">
        <v>31</v>
      </c>
      <c r="D30" t="s">
        <v>32</v>
      </c>
    </row>
    <row r="31" spans="1:4" x14ac:dyDescent="0.2">
      <c r="A31" t="s">
        <v>29</v>
      </c>
      <c r="B31" t="s">
        <v>118</v>
      </c>
      <c r="C31" t="s">
        <v>126</v>
      </c>
      <c r="D31">
        <v>999999</v>
      </c>
    </row>
    <row r="32" spans="1:4" x14ac:dyDescent="0.2">
      <c r="A32" t="s">
        <v>129</v>
      </c>
      <c r="B32" t="s">
        <v>130</v>
      </c>
      <c r="C32" t="s">
        <v>31</v>
      </c>
      <c r="D32" t="s">
        <v>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41D40-F01B-4D49-834A-5CBFBA57E5AA}">
  <dimension ref="A1:C6"/>
  <sheetViews>
    <sheetView workbookViewId="0">
      <selection activeCell="C5" sqref="C5"/>
    </sheetView>
  </sheetViews>
  <sheetFormatPr baseColWidth="10" defaultRowHeight="16" x14ac:dyDescent="0.2"/>
  <cols>
    <col min="1" max="1" width="27.1640625" style="12" bestFit="1" customWidth="1"/>
    <col min="2" max="2" width="41.83203125" style="11" customWidth="1"/>
    <col min="3" max="3" width="37.5" style="13" bestFit="1" customWidth="1"/>
  </cols>
  <sheetData>
    <row r="1" spans="1:3" s="1" customFormat="1" ht="17" x14ac:dyDescent="0.2">
      <c r="A1" s="14" t="s">
        <v>131</v>
      </c>
      <c r="B1" s="15" t="s">
        <v>1</v>
      </c>
      <c r="C1" s="16" t="s">
        <v>139</v>
      </c>
    </row>
    <row r="2" spans="1:3" s="12" customFormat="1" ht="119" x14ac:dyDescent="0.2">
      <c r="A2" s="12" t="s">
        <v>132</v>
      </c>
      <c r="B2" s="13" t="s">
        <v>135</v>
      </c>
      <c r="C2" s="13" t="s">
        <v>140</v>
      </c>
    </row>
    <row r="3" spans="1:3" ht="68" x14ac:dyDescent="0.2">
      <c r="A3" s="12" t="s">
        <v>134</v>
      </c>
      <c r="B3" s="11" t="s">
        <v>133</v>
      </c>
      <c r="C3" s="13" t="s">
        <v>142</v>
      </c>
    </row>
    <row r="4" spans="1:3" ht="85" x14ac:dyDescent="0.2">
      <c r="A4" s="12" t="s">
        <v>136</v>
      </c>
      <c r="B4" s="11" t="s">
        <v>137</v>
      </c>
      <c r="C4" s="13" t="s">
        <v>143</v>
      </c>
    </row>
    <row r="6" spans="1:3" x14ac:dyDescent="0.2">
      <c r="A6" s="12" t="s">
        <v>138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7D3F1-B371-C648-BCD4-83D42EA1B1A2}">
  <dimension ref="A1:C28"/>
  <sheetViews>
    <sheetView zoomScaleNormal="100" workbookViewId="0">
      <selection activeCell="C30" sqref="C30"/>
    </sheetView>
  </sheetViews>
  <sheetFormatPr baseColWidth="10" defaultColWidth="8.83203125" defaultRowHeight="15" x14ac:dyDescent="0.2"/>
  <cols>
    <col min="1" max="1" width="39.5" style="2" bestFit="1" customWidth="1"/>
    <col min="2" max="2" width="7.1640625" style="3" bestFit="1" customWidth="1"/>
    <col min="3" max="3" width="115.5" style="3" bestFit="1" customWidth="1"/>
    <col min="4" max="16384" width="8.83203125" style="2"/>
  </cols>
  <sheetData>
    <row r="1" spans="1:3" ht="16" x14ac:dyDescent="0.2">
      <c r="A1" s="2" t="s">
        <v>60</v>
      </c>
    </row>
    <row r="3" spans="1:3" x14ac:dyDescent="0.2">
      <c r="A3" s="4" t="s">
        <v>61</v>
      </c>
      <c r="B3" s="5" t="s">
        <v>62</v>
      </c>
      <c r="C3" s="5" t="s">
        <v>1</v>
      </c>
    </row>
    <row r="4" spans="1:3" ht="16" x14ac:dyDescent="0.2">
      <c r="A4" s="6" t="s">
        <v>63</v>
      </c>
      <c r="B4" s="7">
        <v>1</v>
      </c>
      <c r="C4" s="8" t="s">
        <v>64</v>
      </c>
    </row>
    <row r="5" spans="1:3" ht="16" x14ac:dyDescent="0.2">
      <c r="A5" s="6" t="s">
        <v>65</v>
      </c>
      <c r="B5" s="7">
        <v>2</v>
      </c>
      <c r="C5" s="8" t="s">
        <v>66</v>
      </c>
    </row>
    <row r="6" spans="1:3" ht="16" x14ac:dyDescent="0.2">
      <c r="A6" s="6" t="s">
        <v>67</v>
      </c>
      <c r="B6" s="7">
        <v>4</v>
      </c>
      <c r="C6" s="8" t="s">
        <v>68</v>
      </c>
    </row>
    <row r="7" spans="1:3" ht="16" x14ac:dyDescent="0.2">
      <c r="A7" s="6" t="s">
        <v>69</v>
      </c>
      <c r="B7" s="7">
        <v>8</v>
      </c>
      <c r="C7" s="8" t="s">
        <v>70</v>
      </c>
    </row>
    <row r="8" spans="1:3" ht="16" x14ac:dyDescent="0.2">
      <c r="A8" s="6" t="s">
        <v>71</v>
      </c>
      <c r="B8" s="7">
        <v>16</v>
      </c>
      <c r="C8" s="8" t="s">
        <v>72</v>
      </c>
    </row>
    <row r="9" spans="1:3" ht="16" x14ac:dyDescent="0.2">
      <c r="A9" s="6" t="s">
        <v>73</v>
      </c>
      <c r="B9" s="7">
        <v>32</v>
      </c>
      <c r="C9" s="8" t="s">
        <v>74</v>
      </c>
    </row>
    <row r="10" spans="1:3" ht="32" x14ac:dyDescent="0.2">
      <c r="A10" s="6" t="s">
        <v>75</v>
      </c>
      <c r="B10" s="7">
        <v>64</v>
      </c>
      <c r="C10" s="8" t="s">
        <v>76</v>
      </c>
    </row>
    <row r="11" spans="1:3" x14ac:dyDescent="0.2">
      <c r="A11" s="6" t="s">
        <v>77</v>
      </c>
      <c r="B11" s="7">
        <v>128</v>
      </c>
      <c r="C11" s="9" t="s">
        <v>78</v>
      </c>
    </row>
    <row r="12" spans="1:3" ht="16" x14ac:dyDescent="0.2">
      <c r="A12" s="6" t="s">
        <v>79</v>
      </c>
      <c r="B12" s="7">
        <v>256</v>
      </c>
      <c r="C12" s="8" t="s">
        <v>80</v>
      </c>
    </row>
    <row r="13" spans="1:3" ht="16" x14ac:dyDescent="0.2">
      <c r="A13" s="6" t="s">
        <v>81</v>
      </c>
      <c r="B13" s="7">
        <v>512</v>
      </c>
      <c r="C13" s="8" t="s">
        <v>82</v>
      </c>
    </row>
    <row r="14" spans="1:3" ht="16" x14ac:dyDescent="0.2">
      <c r="A14" s="6" t="s">
        <v>83</v>
      </c>
      <c r="B14" s="7">
        <f>B13*2</f>
        <v>1024</v>
      </c>
      <c r="C14" s="8" t="s">
        <v>84</v>
      </c>
    </row>
    <row r="15" spans="1:3" x14ac:dyDescent="0.2">
      <c r="A15" s="6" t="s">
        <v>85</v>
      </c>
      <c r="B15" s="7">
        <f t="shared" ref="B15:B17" si="0">B14*2</f>
        <v>2048</v>
      </c>
      <c r="C15" s="9" t="s">
        <v>86</v>
      </c>
    </row>
    <row r="16" spans="1:3" x14ac:dyDescent="0.2">
      <c r="A16" s="6" t="s">
        <v>87</v>
      </c>
      <c r="B16" s="7">
        <f t="shared" si="0"/>
        <v>4096</v>
      </c>
      <c r="C16" s="9" t="s">
        <v>88</v>
      </c>
    </row>
    <row r="17" spans="1:3" x14ac:dyDescent="0.2">
      <c r="A17" s="6" t="s">
        <v>89</v>
      </c>
      <c r="B17" s="7">
        <f t="shared" si="0"/>
        <v>8192</v>
      </c>
      <c r="C17" s="9" t="s">
        <v>90</v>
      </c>
    </row>
    <row r="18" spans="1:3" ht="16" x14ac:dyDescent="0.2">
      <c r="A18" s="6" t="s">
        <v>91</v>
      </c>
      <c r="B18" s="7">
        <f>B17*2</f>
        <v>16384</v>
      </c>
      <c r="C18" s="8" t="s">
        <v>92</v>
      </c>
    </row>
    <row r="19" spans="1:3" ht="16" x14ac:dyDescent="0.2">
      <c r="A19" s="6" t="s">
        <v>93</v>
      </c>
      <c r="B19" s="7">
        <f>B18*2</f>
        <v>32768</v>
      </c>
      <c r="C19" s="8" t="s">
        <v>94</v>
      </c>
    </row>
    <row r="20" spans="1:3" x14ac:dyDescent="0.2">
      <c r="A20" s="6" t="s">
        <v>95</v>
      </c>
      <c r="B20" s="7">
        <f>B19*2</f>
        <v>65536</v>
      </c>
      <c r="C20" s="9" t="s">
        <v>96</v>
      </c>
    </row>
    <row r="21" spans="1:3" ht="15" customHeight="1" x14ac:dyDescent="0.2">
      <c r="A21" s="6" t="s">
        <v>97</v>
      </c>
      <c r="B21" s="7">
        <f>B20*2</f>
        <v>131072</v>
      </c>
      <c r="C21" s="8" t="s">
        <v>98</v>
      </c>
    </row>
    <row r="22" spans="1:3" x14ac:dyDescent="0.2">
      <c r="A22" s="6" t="s">
        <v>99</v>
      </c>
      <c r="B22" s="7">
        <f t="shared" ref="B22:B23" si="1">B21*2</f>
        <v>262144</v>
      </c>
      <c r="C22" s="9" t="s">
        <v>100</v>
      </c>
    </row>
    <row r="23" spans="1:3" x14ac:dyDescent="0.2">
      <c r="A23" s="6" t="s">
        <v>101</v>
      </c>
      <c r="B23" s="7">
        <f t="shared" si="1"/>
        <v>524288</v>
      </c>
      <c r="C23" s="9" t="s">
        <v>102</v>
      </c>
    </row>
    <row r="24" spans="1:3" x14ac:dyDescent="0.2">
      <c r="A24" s="10"/>
    </row>
    <row r="25" spans="1:3" x14ac:dyDescent="0.2">
      <c r="A25" s="10"/>
    </row>
    <row r="26" spans="1:3" x14ac:dyDescent="0.2">
      <c r="A26" s="10"/>
    </row>
    <row r="27" spans="1:3" x14ac:dyDescent="0.2">
      <c r="A27" s="10"/>
    </row>
    <row r="28" spans="1:3" x14ac:dyDescent="0.2">
      <c r="A28"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0BFEB-BB98-9746-A203-2FB32A7A4804}">
  <dimension ref="A1:C17"/>
  <sheetViews>
    <sheetView zoomScaleNormal="100" workbookViewId="0">
      <selection activeCell="C34" sqref="C34"/>
    </sheetView>
  </sheetViews>
  <sheetFormatPr baseColWidth="10" defaultColWidth="11.5" defaultRowHeight="15" x14ac:dyDescent="0.2"/>
  <cols>
    <col min="1" max="1" width="20.5" style="3" bestFit="1" customWidth="1"/>
    <col min="2" max="2" width="5.6640625" style="3" bestFit="1" customWidth="1"/>
    <col min="3" max="3" width="192.5" style="3" bestFit="1" customWidth="1"/>
    <col min="4" max="16384" width="11.5" style="2"/>
  </cols>
  <sheetData>
    <row r="1" spans="1:3" x14ac:dyDescent="0.2">
      <c r="A1" s="3" t="s">
        <v>103</v>
      </c>
    </row>
    <row r="3" spans="1:3" x14ac:dyDescent="0.2">
      <c r="A3" s="5" t="s">
        <v>61</v>
      </c>
      <c r="B3" s="5" t="s">
        <v>62</v>
      </c>
      <c r="C3" s="5" t="s">
        <v>1</v>
      </c>
    </row>
    <row r="4" spans="1:3" x14ac:dyDescent="0.2">
      <c r="A4" s="3" t="s">
        <v>104</v>
      </c>
      <c r="B4" s="3">
        <v>1</v>
      </c>
      <c r="C4" s="3" t="s">
        <v>105</v>
      </c>
    </row>
    <row r="5" spans="1:3" x14ac:dyDescent="0.2">
      <c r="A5" s="3" t="s">
        <v>106</v>
      </c>
      <c r="B5" s="3">
        <v>2</v>
      </c>
      <c r="C5" s="3" t="s">
        <v>107</v>
      </c>
    </row>
    <row r="6" spans="1:3" x14ac:dyDescent="0.2">
      <c r="A6" s="3" t="s">
        <v>108</v>
      </c>
      <c r="B6" s="3">
        <v>4</v>
      </c>
      <c r="C6" s="3" t="s">
        <v>109</v>
      </c>
    </row>
    <row r="7" spans="1:3" x14ac:dyDescent="0.2">
      <c r="A7" s="3" t="s">
        <v>110</v>
      </c>
      <c r="B7" s="3">
        <v>8</v>
      </c>
      <c r="C7" s="3" t="s">
        <v>111</v>
      </c>
    </row>
    <row r="8" spans="1:3" x14ac:dyDescent="0.2">
      <c r="A8" s="3" t="s">
        <v>112</v>
      </c>
      <c r="B8" s="3">
        <v>16</v>
      </c>
      <c r="C8" s="3" t="s">
        <v>113</v>
      </c>
    </row>
    <row r="9" spans="1:3" x14ac:dyDescent="0.2">
      <c r="A9" s="3" t="s">
        <v>114</v>
      </c>
      <c r="B9" s="3">
        <v>32</v>
      </c>
      <c r="C9" s="3" t="s">
        <v>115</v>
      </c>
    </row>
    <row r="12" spans="1:3" x14ac:dyDescent="0.2">
      <c r="A12" s="9"/>
    </row>
    <row r="13" spans="1:3" x14ac:dyDescent="0.2">
      <c r="A13" s="9"/>
    </row>
    <row r="14" spans="1:3" x14ac:dyDescent="0.2">
      <c r="A14" s="9"/>
    </row>
    <row r="15" spans="1:3" x14ac:dyDescent="0.2">
      <c r="A15" s="9"/>
    </row>
    <row r="16" spans="1:3" x14ac:dyDescent="0.2">
      <c r="A16" s="9"/>
    </row>
    <row r="17" spans="1:1" x14ac:dyDescent="0.2">
      <c r="A17"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VNF temporal profile CSV Fields</vt:lpstr>
      <vt:lpstr>Detection scenarios</vt:lpstr>
      <vt:lpstr>QF_Detect Bit Description</vt:lpstr>
      <vt:lpstr>QF_Fit Bit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2021-03-05T21:56:12Z</dcterms:created>
  <dcterms:modified xsi:type="dcterms:W3CDTF">2023-05-24T21:31:46Z</dcterms:modified>
</cp:coreProperties>
</file>